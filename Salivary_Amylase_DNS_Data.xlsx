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2cda1be40d6b4/Desktop/"/>
    </mc:Choice>
  </mc:AlternateContent>
  <xr:revisionPtr revIDLastSave="0" documentId="8_{C3981434-BA4D-40EE-942D-ACDBF0BD8731}" xr6:coauthVersionLast="47" xr6:coauthVersionMax="47" xr10:uidLastSave="{00000000-0000-0000-0000-000000000000}"/>
  <bookViews>
    <workbookView xWindow="-108" yWindow="-108" windowWidth="23256" windowHeight="12456" activeTab="1" xr2:uid="{A1EE936E-D1EF-4041-BBC6-245BDEB85F12}"/>
  </bookViews>
  <sheets>
    <sheet name="Maltose_Standard_Data" sheetId="1" r:id="rId1"/>
    <sheet name="Amylase_Activity_CalculationSam" sheetId="2" r:id="rId2"/>
    <sheet name="Amylase_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2" i="3"/>
</calcChain>
</file>

<file path=xl/sharedStrings.xml><?xml version="1.0" encoding="utf-8"?>
<sst xmlns="http://schemas.openxmlformats.org/spreadsheetml/2006/main" count="15" uniqueCount="11">
  <si>
    <t>Maltose Concentration</t>
  </si>
  <si>
    <t>Absorbance</t>
  </si>
  <si>
    <t>ASSAY OF DIGESTIVE ENZYMES</t>
  </si>
  <si>
    <t>Sample</t>
  </si>
  <si>
    <t>Maltose Produced (mg/mL)</t>
  </si>
  <si>
    <t>T1</t>
  </si>
  <si>
    <t>T2</t>
  </si>
  <si>
    <t>Absorbance (OD540)</t>
  </si>
  <si>
    <t>Interpretation</t>
  </si>
  <si>
    <t>ACTIVE ENZYME</t>
  </si>
  <si>
    <t>Consistent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</si>
</sst>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Standard Calibration Curve of Maltose Using DNS Method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Maltose_Standard_Data!$B$2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Maltose_Standard_Data!$A$3:$A$8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Maltose_Standard_Data!$B$3:$B$8</c:f>
              <c:numCache>
                <c:formatCode>General</c:formatCode>
                <c:ptCount val="6"/>
                <c:pt idx="0">
                  <c:v>0</c:v>
                </c:pt>
                <c:pt idx="1">
                  <c:v>0.24</c:v>
                </c:pt>
                <c:pt idx="2">
                  <c:v>0.43</c:v>
                </c:pt>
                <c:pt idx="3">
                  <c:v>0.61</c:v>
                </c:pt>
                <c:pt idx="4">
                  <c:v>0.79</c:v>
                </c:pt>
                <c:pt idx="5">
                  <c:v>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A-4C24-8995-706B4FCA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131023"/>
        <c:axId val="1078132463"/>
      </c:scatterChart>
      <c:valAx>
        <c:axId val="107813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Maltose Concentration (mg/mL)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32463"/>
        <c:crosses val="autoZero"/>
        <c:crossBetween val="midCat"/>
      </c:valAx>
      <c:valAx>
        <c:axId val="10781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Absorbance at 540 nm (OD₅₄₀)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3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Maltose Produced by Salivary Amylase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Amylase_Activity_CalculationSam!$B$1</c:f>
              <c:strCache>
                <c:ptCount val="1"/>
                <c:pt idx="0">
                  <c:v>Maltose Produced (mg/mL)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Amylase_Activity_CalculationSam!$A$2:$A$3</c:f>
              <c:strCache>
                <c:ptCount val="2"/>
                <c:pt idx="0">
                  <c:v>T1</c:v>
                </c:pt>
                <c:pt idx="1">
                  <c:v>T2</c:v>
                </c:pt>
              </c:strCache>
            </c:strRef>
          </c:cat>
          <c:val>
            <c:numRef>
              <c:f>Amylase_Activity_CalculationSam!$B$2:$B$3</c:f>
              <c:numCache>
                <c:formatCode>General</c:formatCode>
                <c:ptCount val="2"/>
                <c:pt idx="0">
                  <c:v>0.62</c:v>
                </c:pt>
                <c:pt idx="1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D-4336-8153-FF6AD44A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160783"/>
        <c:axId val="1078161263"/>
      </c:barChart>
      <c:catAx>
        <c:axId val="107816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Sample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1263"/>
        <c:crosses val="autoZero"/>
        <c:auto val="1"/>
        <c:lblAlgn val="ctr"/>
        <c:lblOffset val="100"/>
        <c:noMultiLvlLbl val="0"/>
      </c:catAx>
      <c:valAx>
        <c:axId val="107816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Maltose Produced (mg/mL)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5000000000000001E-2"/>
              <c:y val="0.2136960484106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6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41910</xdr:rowOff>
    </xdr:from>
    <xdr:to>
      <xdr:col>10</xdr:col>
      <xdr:colOff>533400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645DB-DE1B-19B8-0C33-7FB24E41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41910</xdr:rowOff>
    </xdr:from>
    <xdr:to>
      <xdr:col>11</xdr:col>
      <xdr:colOff>525780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E84BE-B180-4FCE-1A57-A294FA571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4B08-6BFF-445D-9412-BF05CAFEB8F1}">
  <dimension ref="A1:B8"/>
  <sheetViews>
    <sheetView workbookViewId="0">
      <selection activeCell="L18" sqref="L18"/>
    </sheetView>
  </sheetViews>
  <sheetFormatPr defaultRowHeight="14.4" x14ac:dyDescent="0.3"/>
  <cols>
    <col min="1" max="1" width="27" customWidth="1"/>
    <col min="2" max="2" width="28.44140625" customWidth="1"/>
    <col min="3" max="3" width="18.21875" customWidth="1"/>
  </cols>
  <sheetData>
    <row r="1" spans="1:2" x14ac:dyDescent="0.3">
      <c r="A1" s="4" t="s">
        <v>2</v>
      </c>
      <c r="B1" s="4"/>
    </row>
    <row r="2" spans="1:2" x14ac:dyDescent="0.3">
      <c r="A2" s="1" t="s">
        <v>0</v>
      </c>
      <c r="B2" s="2" t="s">
        <v>1</v>
      </c>
    </row>
    <row r="3" spans="1:2" x14ac:dyDescent="0.3">
      <c r="A3">
        <v>0</v>
      </c>
      <c r="B3">
        <v>0</v>
      </c>
    </row>
    <row r="4" spans="1:2" x14ac:dyDescent="0.3">
      <c r="A4">
        <v>0.2</v>
      </c>
      <c r="B4">
        <v>0.24</v>
      </c>
    </row>
    <row r="5" spans="1:2" x14ac:dyDescent="0.3">
      <c r="A5">
        <v>0.4</v>
      </c>
      <c r="B5">
        <v>0.43</v>
      </c>
    </row>
    <row r="6" spans="1:2" x14ac:dyDescent="0.3">
      <c r="A6">
        <v>0.6</v>
      </c>
      <c r="B6">
        <v>0.61</v>
      </c>
    </row>
    <row r="7" spans="1:2" x14ac:dyDescent="0.3">
      <c r="A7">
        <v>0.8</v>
      </c>
      <c r="B7">
        <v>0.79</v>
      </c>
    </row>
    <row r="8" spans="1:2" x14ac:dyDescent="0.3">
      <c r="A8">
        <v>1</v>
      </c>
      <c r="B8">
        <v>0.96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352-C831-42E0-BCD3-8B72EB2F9445}">
  <dimension ref="A1:B3"/>
  <sheetViews>
    <sheetView tabSelected="1" workbookViewId="0">
      <selection sqref="A1:B3"/>
    </sheetView>
  </sheetViews>
  <sheetFormatPr defaultRowHeight="14.4" x14ac:dyDescent="0.3"/>
  <cols>
    <col min="2" max="2" width="26.6640625" customWidth="1"/>
    <col min="3" max="3" width="22.33203125" customWidth="1"/>
  </cols>
  <sheetData>
    <row r="1" spans="1:2" x14ac:dyDescent="0.3">
      <c r="A1" s="3" t="s">
        <v>3</v>
      </c>
      <c r="B1" s="2" t="s">
        <v>4</v>
      </c>
    </row>
    <row r="2" spans="1:2" x14ac:dyDescent="0.3">
      <c r="A2" t="s">
        <v>5</v>
      </c>
      <c r="B2">
        <v>0.62</v>
      </c>
    </row>
    <row r="3" spans="1:2" x14ac:dyDescent="0.3">
      <c r="A3" t="s">
        <v>6</v>
      </c>
      <c r="B3">
        <v>0.59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7757-D700-49C7-B531-5EDDFB1298FD}">
  <dimension ref="A1:D3"/>
  <sheetViews>
    <sheetView workbookViewId="0">
      <selection activeCell="D3" sqref="D3"/>
    </sheetView>
  </sheetViews>
  <sheetFormatPr defaultRowHeight="14.4" x14ac:dyDescent="0.3"/>
  <cols>
    <col min="2" max="2" width="25.33203125" customWidth="1"/>
    <col min="3" max="3" width="26.6640625" customWidth="1"/>
    <col min="4" max="4" width="16.77734375" customWidth="1"/>
  </cols>
  <sheetData>
    <row r="1" spans="1:4" x14ac:dyDescent="0.3">
      <c r="A1" s="3" t="s">
        <v>3</v>
      </c>
      <c r="B1" s="1" t="s">
        <v>7</v>
      </c>
      <c r="C1" s="2" t="s">
        <v>4</v>
      </c>
      <c r="D1" s="1" t="s">
        <v>8</v>
      </c>
    </row>
    <row r="2" spans="1:4" x14ac:dyDescent="0.3">
      <c r="A2" t="s">
        <v>5</v>
      </c>
      <c r="B2">
        <v>0.62</v>
      </c>
      <c r="C2">
        <f>(B2-0.0314)/0.9471</f>
        <v>0.62147608489071904</v>
      </c>
      <c r="D2" t="s">
        <v>9</v>
      </c>
    </row>
    <row r="3" spans="1:4" x14ac:dyDescent="0.3">
      <c r="A3" t="s">
        <v>6</v>
      </c>
      <c r="B3">
        <v>0.59</v>
      </c>
      <c r="C3">
        <f>(B3-0.0314)/0.9471</f>
        <v>0.58980044345897997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Maltose_Standard_Data</vt:lpstr>
      <vt:lpstr>Amylase_Activity_CalculationSam</vt:lpstr>
      <vt:lpstr>Amylase_Calculation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burli</dc:creator>
  <cp:lastModifiedBy>sandeep burli</cp:lastModifiedBy>
  <dcterms:created xsi:type="dcterms:W3CDTF">2026-03-13T13:31:15Z</dcterms:created>
  <dcterms:modified xsi:type="dcterms:W3CDTF">2026-03-14T16:39:19Z</dcterms:modified>
</cp:coreProperties>
</file>